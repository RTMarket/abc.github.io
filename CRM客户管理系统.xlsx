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首页" sheetId="1" state="visible" r:id="rId2"/>
    <sheet name="卖家CRM" sheetId="2" state="visible" r:id="rId3"/>
    <sheet name="工厂CRM" sheetId="3" state="visible" r:id="rId4"/>
    <sheet name="数据汇总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<sst xmlns="http://schemas.openxmlformats.org/spreadsheetml/2006/main" count="226" uniqueCount="186">
  <si>
    <t xml:space="preserve">香港佳和供应链管理有限公司</t>
  </si>
  <si>
    <r>
      <rPr>
        <b val="true"/>
        <sz val="18"/>
        <color rgb="FF333333"/>
        <rFont val="Cambria"/>
        <family val="0"/>
        <charset val="1"/>
      </rPr>
      <t xml:space="preserve">CRM </t>
    </r>
    <r>
      <rPr>
        <b val="true"/>
        <sz val="18"/>
        <color rgb="FF333333"/>
        <rFont val="Noto Sans CJK SC"/>
        <family val="2"/>
      </rPr>
      <t xml:space="preserve">客户管理系统</t>
    </r>
  </si>
  <si>
    <t xml:space="preserve">数据汇总表</t>
  </si>
  <si>
    <t xml:space="preserve">表格说明：</t>
  </si>
  <si>
    <r>
      <rPr>
        <sz val="11"/>
        <color rgb="FF000000"/>
        <rFont val="Noto Sans CJK SC"/>
        <family val="2"/>
      </rPr>
      <t xml:space="preserve">• 卖家</t>
    </r>
    <r>
      <rPr>
        <sz val="11"/>
        <color rgb="FF000000"/>
        <rFont val="Calibri"/>
        <family val="2"/>
        <charset val="1"/>
      </rPr>
      <t xml:space="preserve">CRM</t>
    </r>
    <r>
      <rPr>
        <sz val="11"/>
        <color rgb="FF000000"/>
        <rFont val="Noto Sans CJK SC"/>
        <family val="2"/>
      </rPr>
      <t xml:space="preserve">：跨境卖家入驻申请表数据</t>
    </r>
  </si>
  <si>
    <r>
      <rPr>
        <sz val="11"/>
        <color rgb="FF000000"/>
        <rFont val="Noto Sans CJK SC"/>
        <family val="2"/>
      </rPr>
      <t xml:space="preserve">• 工厂</t>
    </r>
    <r>
      <rPr>
        <sz val="11"/>
        <color rgb="FF000000"/>
        <rFont val="Calibri"/>
        <family val="2"/>
        <charset val="1"/>
      </rPr>
      <t xml:space="preserve">CRM</t>
    </r>
    <r>
      <rPr>
        <sz val="11"/>
        <color rgb="FF000000"/>
        <rFont val="Noto Sans CJK SC"/>
        <family val="2"/>
      </rPr>
      <t xml:space="preserve">：海外工厂注册申请表数据</t>
    </r>
  </si>
  <si>
    <t xml:space="preserve">• 数据汇总：关键指标统计</t>
  </si>
  <si>
    <t xml:space="preserve">使用方法：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</si>
  <si>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CJK SC"/>
        <family val="2"/>
      </rPr>
      <t xml:space="preserve">在「卖家</t>
    </r>
    <r>
      <rPr>
        <sz val="11"/>
        <color rgb="FF000000"/>
        <rFont val="Calibri"/>
        <family val="2"/>
        <charset val="1"/>
      </rPr>
      <t xml:space="preserve">CRM</t>
    </r>
    <r>
      <rPr>
        <sz val="11"/>
        <color rgb="FF000000"/>
        <rFont val="Noto Sans CJK SC"/>
        <family val="2"/>
      </rPr>
      <t xml:space="preserve">」和「工厂</t>
    </r>
    <r>
      <rPr>
        <sz val="11"/>
        <color rgb="FF000000"/>
        <rFont val="Calibri"/>
        <family val="2"/>
        <charset val="1"/>
      </rPr>
      <t xml:space="preserve">CRM</t>
    </r>
    <r>
      <rPr>
        <sz val="11"/>
        <color rgb="FF000000"/>
        <rFont val="Noto Sans CJK SC"/>
        <family val="2"/>
      </rPr>
      <t xml:space="preserve">」表单中查看客户信息</t>
    </r>
  </si>
  <si>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CJK SC"/>
        <family val="2"/>
      </rPr>
      <t xml:space="preserve">可按需筛选、排序和分析数据</t>
    </r>
  </si>
  <si>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CJK SC"/>
        <family val="2"/>
      </rPr>
      <t xml:space="preserve">「数据汇总」工作表自动统计关键指标</t>
    </r>
  </si>
  <si>
    <t xml:space="preserve">序号</t>
  </si>
  <si>
    <r>
      <rPr>
        <b val="true"/>
        <sz val="14"/>
        <color rgb="FFFFFFFF"/>
        <rFont val="Noto Sans CJK SC"/>
        <family val="2"/>
      </rPr>
      <t xml:space="preserve">公司名称</t>
    </r>
    <r>
      <rPr>
        <b val="true"/>
        <sz val="14"/>
        <color rgb="FFFFFFFF"/>
        <rFont val="Cambria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中文</t>
    </r>
    <r>
      <rPr>
        <b val="true"/>
        <sz val="14"/>
        <color rgb="FFFFFFFF"/>
        <rFont val="Cambria"/>
        <family val="0"/>
        <charset val="1"/>
      </rPr>
      <t xml:space="preserve">)</t>
    </r>
  </si>
  <si>
    <r>
      <rPr>
        <b val="true"/>
        <sz val="14"/>
        <color rgb="FFFFFFFF"/>
        <rFont val="Noto Sans CJK SC"/>
        <family val="2"/>
      </rPr>
      <t xml:space="preserve">公司名称</t>
    </r>
    <r>
      <rPr>
        <b val="true"/>
        <sz val="14"/>
        <color rgb="FFFFFFFF"/>
        <rFont val="Cambria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英文</t>
    </r>
    <r>
      <rPr>
        <b val="true"/>
        <sz val="14"/>
        <color rgb="FFFFFFFF"/>
        <rFont val="Cambria"/>
        <family val="0"/>
        <charset val="1"/>
      </rPr>
      <t xml:space="preserve">)</t>
    </r>
  </si>
  <si>
    <t xml:space="preserve">统一社会信用代码</t>
  </si>
  <si>
    <t xml:space="preserve">联系人</t>
  </si>
  <si>
    <t xml:space="preserve">电话</t>
  </si>
  <si>
    <t xml:space="preserve">邮箱</t>
  </si>
  <si>
    <t xml:space="preserve">微信</t>
  </si>
  <si>
    <t xml:space="preserve">当前平台</t>
  </si>
  <si>
    <t xml:space="preserve">目标平台</t>
  </si>
  <si>
    <t xml:space="preserve">美国店铺数</t>
  </si>
  <si>
    <t xml:space="preserve">墨西哥店铺数</t>
  </si>
  <si>
    <t xml:space="preserve">需要合伙人</t>
  </si>
  <si>
    <t xml:space="preserve">需要美国银行</t>
  </si>
  <si>
    <t xml:space="preserve">需要墨西哥银行</t>
  </si>
  <si>
    <t xml:space="preserve">月销售额</t>
  </si>
  <si>
    <t xml:space="preserve">产品品类</t>
  </si>
  <si>
    <t xml:space="preserve">海外仓状态</t>
  </si>
  <si>
    <t xml:space="preserve">备货资金</t>
  </si>
  <si>
    <t xml:space="preserve">需要供应链</t>
  </si>
  <si>
    <r>
      <rPr>
        <b val="true"/>
        <sz val="14"/>
        <color rgb="FFFFFFFF"/>
        <rFont val="Noto Sans CJK SC"/>
        <family val="2"/>
      </rPr>
      <t xml:space="preserve">需要</t>
    </r>
    <r>
      <rPr>
        <b val="true"/>
        <sz val="14"/>
        <color rgb="FFFFFFFF"/>
        <rFont val="Cambria"/>
        <family val="0"/>
        <charset val="1"/>
      </rPr>
      <t xml:space="preserve">MCN</t>
    </r>
  </si>
  <si>
    <t xml:space="preserve">需要物流</t>
  </si>
  <si>
    <t xml:space="preserve">需要支付</t>
  </si>
  <si>
    <t xml:space="preserve">服务方案</t>
  </si>
  <si>
    <t xml:space="preserve">预算</t>
  </si>
  <si>
    <t xml:space="preserve">其他需求</t>
  </si>
  <si>
    <t xml:space="preserve">提交时间</t>
  </si>
  <si>
    <t xml:space="preserve">深圳跨境电商有限公司</t>
  </si>
  <si>
    <t xml:space="preserve">Shenzhen Cross-Border E-commerce Co., Ltd.</t>
  </si>
  <si>
    <t xml:space="preserve">91440300MA5EXAMPLE</t>
  </si>
  <si>
    <t xml:space="preserve">张先生</t>
  </si>
  <si>
    <t xml:space="preserve">+86 13800138000</t>
  </si>
  <si>
    <t xml:space="preserve">zhang@company.com</t>
  </si>
  <si>
    <t xml:space="preserve">Zhang138001</t>
  </si>
  <si>
    <t xml:space="preserve">Amazon,TikTok Shop</t>
  </si>
  <si>
    <t xml:space="preserve">TEMU,SHEIN</t>
  </si>
  <si>
    <t xml:space="preserve">1-3</t>
  </si>
  <si>
    <t xml:space="preserve">0</t>
  </si>
  <si>
    <t xml:space="preserve">是</t>
  </si>
  <si>
    <t xml:space="preserve">否</t>
  </si>
  <si>
    <r>
      <rPr>
        <sz val="11"/>
        <color rgb="FF000000"/>
        <rFont val="Calibri"/>
        <family val="2"/>
        <charset val="1"/>
      </rPr>
      <t xml:space="preserve">10-30</t>
    </r>
    <r>
      <rPr>
        <sz val="11"/>
        <color rgb="FF000000"/>
        <rFont val="Noto Sans CJK SC"/>
        <family val="2"/>
      </rPr>
      <t xml:space="preserve">万</t>
    </r>
  </si>
  <si>
    <r>
      <rPr>
        <sz val="11"/>
        <color rgb="FF000000"/>
        <rFont val="Noto Sans CJK SC"/>
        <family val="2"/>
      </rPr>
      <t xml:space="preserve">汽摩配件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家居智能</t>
    </r>
  </si>
  <si>
    <t xml:space="preserve">计划备货</t>
  </si>
  <si>
    <r>
      <rPr>
        <sz val="11"/>
        <color rgb="FF000000"/>
        <rFont val="Calibri"/>
        <family val="2"/>
        <charset val="1"/>
      </rPr>
      <t xml:space="preserve">10-50</t>
    </r>
    <r>
      <rPr>
        <sz val="11"/>
        <color rgb="FF000000"/>
        <rFont val="Noto Sans CJK SC"/>
        <family val="2"/>
      </rPr>
      <t xml:space="preserve">万</t>
    </r>
  </si>
  <si>
    <t xml:space="preserve">需要</t>
  </si>
  <si>
    <t xml:space="preserve">不需要</t>
  </si>
  <si>
    <r>
      <rPr>
        <sz val="11"/>
        <color rgb="FF000000"/>
        <rFont val="Noto Sans CJK SC"/>
        <family val="2"/>
      </rPr>
      <t xml:space="preserve">方案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（进阶版）</t>
    </r>
  </si>
  <si>
    <r>
      <rPr>
        <sz val="11"/>
        <color rgb="FF000000"/>
        <rFont val="Calibri"/>
        <family val="2"/>
        <charset val="1"/>
      </rPr>
      <t xml:space="preserve">5-10</t>
    </r>
    <r>
      <rPr>
        <sz val="11"/>
        <color rgb="FF000000"/>
        <rFont val="Noto Sans CJK SC"/>
        <family val="2"/>
      </rPr>
      <t xml:space="preserve">万</t>
    </r>
  </si>
  <si>
    <t xml:space="preserve">需要美国本土合规指导</t>
  </si>
  <si>
    <t xml:space="preserve">2024-01-15 10:30</t>
  </si>
  <si>
    <t xml:space="preserve">浙江供应链管理企业</t>
  </si>
  <si>
    <t xml:space="preserve">Zhejiang Supply Chain Management Co., Ltd.</t>
  </si>
  <si>
    <t xml:space="preserve">91330000MA5EXAMPLE</t>
  </si>
  <si>
    <t xml:space="preserve">李女士</t>
  </si>
  <si>
    <t xml:space="preserve">+86 13900139000</t>
  </si>
  <si>
    <t xml:space="preserve">li@company.com</t>
  </si>
  <si>
    <t xml:space="preserve">Li139001</t>
  </si>
  <si>
    <t xml:space="preserve">TEMU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</si>
  <si>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万以上</t>
    </r>
  </si>
  <si>
    <r>
      <rPr>
        <sz val="11"/>
        <color rgb="FF000000"/>
        <rFont val="Noto Sans CJK SC"/>
        <family val="2"/>
      </rPr>
      <t xml:space="preserve">母婴用品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儿童玩具</t>
    </r>
  </si>
  <si>
    <t xml:space="preserve">已有海外仓</t>
  </si>
  <si>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CJK SC"/>
        <family val="2"/>
      </rPr>
      <t xml:space="preserve">万以上</t>
    </r>
  </si>
  <si>
    <r>
      <rPr>
        <sz val="11"/>
        <color rgb="FF000000"/>
        <rFont val="Noto Sans CJK SC"/>
        <family val="2"/>
      </rPr>
      <t xml:space="preserve">方案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CJK SC"/>
        <family val="2"/>
      </rPr>
      <t xml:space="preserve">（终极版）</t>
    </r>
  </si>
  <si>
    <t xml:space="preserve">希望尽快开拓北美市场</t>
  </si>
  <si>
    <t xml:space="preserve">2024-01-16 14:20</t>
  </si>
  <si>
    <t xml:space="preserve">广州贸易公司</t>
  </si>
  <si>
    <t xml:space="preserve">Guangzhou Trading Company</t>
  </si>
  <si>
    <t xml:space="preserve">91440000MA5EXAMPLE</t>
  </si>
  <si>
    <t xml:space="preserve">王先生</t>
  </si>
  <si>
    <t xml:space="preserve">+86 13700137000</t>
  </si>
  <si>
    <t xml:space="preserve">wang@company.com</t>
  </si>
  <si>
    <t xml:space="preserve">Wang137001</t>
  </si>
  <si>
    <t xml:space="preserve">SHEIN</t>
  </si>
  <si>
    <t xml:space="preserve">TikTok Shop,Amazon</t>
  </si>
  <si>
    <t xml:space="preserve">4-10</t>
  </si>
  <si>
    <r>
      <rPr>
        <sz val="11"/>
        <color rgb="FF000000"/>
        <rFont val="Noto Sans CJK SC"/>
        <family val="2"/>
      </rPr>
      <t xml:space="preserve">日用家居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五金工具</t>
    </r>
  </si>
  <si>
    <r>
      <rPr>
        <sz val="11"/>
        <color rgb="FF000000"/>
        <rFont val="Calibri"/>
        <family val="2"/>
        <charset val="1"/>
      </rPr>
      <t xml:space="preserve">1-10</t>
    </r>
    <r>
      <rPr>
        <sz val="11"/>
        <color rgb="FF000000"/>
        <rFont val="Noto Sans CJK SC"/>
        <family val="2"/>
      </rPr>
      <t xml:space="preserve">万</t>
    </r>
  </si>
  <si>
    <r>
      <rPr>
        <sz val="11"/>
        <color rgb="FF000000"/>
        <rFont val="Noto Sans CJK SC"/>
        <family val="2"/>
      </rPr>
      <t xml:space="preserve">方案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（基础版）</t>
    </r>
  </si>
  <si>
    <r>
      <rPr>
        <sz val="11"/>
        <color rgb="FF000000"/>
        <rFont val="Calibri"/>
        <family val="2"/>
        <charset val="1"/>
      </rPr>
      <t xml:space="preserve">1-5</t>
    </r>
    <r>
      <rPr>
        <sz val="11"/>
        <color rgb="FF000000"/>
        <rFont val="Noto Sans CJK SC"/>
        <family val="2"/>
      </rPr>
      <t xml:space="preserve">万</t>
    </r>
  </si>
  <si>
    <t xml:space="preserve">2024-01-17 09:15</t>
  </si>
  <si>
    <r>
      <rPr>
        <b val="true"/>
        <sz val="14"/>
        <color rgb="FFFFFFFF"/>
        <rFont val="Noto Sans CJK SC"/>
        <family val="2"/>
      </rPr>
      <t xml:space="preserve">工厂名称</t>
    </r>
    <r>
      <rPr>
        <b val="true"/>
        <sz val="14"/>
        <color rgb="FFFFFFFF"/>
        <rFont val="Cambria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英文</t>
    </r>
    <r>
      <rPr>
        <b val="true"/>
        <sz val="14"/>
        <color rgb="FFFFFFFF"/>
        <rFont val="Cambria"/>
        <family val="0"/>
        <charset val="1"/>
      </rPr>
      <t xml:space="preserve">)</t>
    </r>
  </si>
  <si>
    <r>
      <rPr>
        <b val="true"/>
        <sz val="14"/>
        <color rgb="FFFFFFFF"/>
        <rFont val="Noto Sans CJK SC"/>
        <family val="2"/>
      </rPr>
      <t xml:space="preserve">工厂名称</t>
    </r>
    <r>
      <rPr>
        <b val="true"/>
        <sz val="14"/>
        <color rgb="FFFFFFFF"/>
        <rFont val="Cambria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中文</t>
    </r>
    <r>
      <rPr>
        <b val="true"/>
        <sz val="14"/>
        <color rgb="FFFFFFFF"/>
        <rFont val="Cambria"/>
        <family val="0"/>
        <charset val="1"/>
      </rPr>
      <t xml:space="preserve">)</t>
    </r>
  </si>
  <si>
    <t xml:space="preserve">注册国家</t>
  </si>
  <si>
    <t xml:space="preserve">注册地址</t>
  </si>
  <si>
    <t xml:space="preserve">税号</t>
  </si>
  <si>
    <t xml:space="preserve">网址</t>
  </si>
  <si>
    <t xml:space="preserve">产品描述</t>
  </si>
  <si>
    <t xml:space="preserve">最小订单量</t>
  </si>
  <si>
    <t xml:space="preserve">交货周期</t>
  </si>
  <si>
    <t xml:space="preserve">产能</t>
  </si>
  <si>
    <t xml:space="preserve">是否有认证</t>
  </si>
  <si>
    <t xml:space="preserve">认证证书</t>
  </si>
  <si>
    <t xml:space="preserve">本地库存</t>
  </si>
  <si>
    <t xml:space="preserve">物流方式</t>
  </si>
  <si>
    <t xml:space="preserve">接受样品单</t>
  </si>
  <si>
    <t xml:space="preserve">品牌服务</t>
  </si>
  <si>
    <t xml:space="preserve">其他信息</t>
  </si>
  <si>
    <t xml:space="preserve">USA Manufacturing Co.</t>
  </si>
  <si>
    <t xml:space="preserve">美国制造有限公司</t>
  </si>
  <si>
    <t xml:space="preserve">USA</t>
  </si>
  <si>
    <t xml:space="preserve">123 Factory Ave, Los Angeles, CA</t>
  </si>
  <si>
    <t xml:space="preserve">12-3456789</t>
  </si>
  <si>
    <t xml:space="preserve">John Smith</t>
  </si>
  <si>
    <t xml:space="preserve">+1 555-123-4567</t>
  </si>
  <si>
    <t xml:space="preserve">john@usafactory.com</t>
  </si>
  <si>
    <t xml:space="preserve">www.usafactory.com</t>
  </si>
  <si>
    <r>
      <rPr>
        <sz val="11"/>
        <color rgb="FF000000"/>
        <rFont val="Noto Sans CJK SC"/>
        <family val="2"/>
      </rPr>
      <t xml:space="preserve">汽摩配件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五金工具</t>
    </r>
  </si>
  <si>
    <t xml:space="preserve">专业生产汽车零部件和工具</t>
  </si>
  <si>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件</t>
    </r>
  </si>
  <si>
    <r>
      <rPr>
        <sz val="11"/>
        <color rgb="FF000000"/>
        <rFont val="Calibri"/>
        <family val="2"/>
        <charset val="1"/>
      </rPr>
      <t xml:space="preserve">15-20</t>
    </r>
    <r>
      <rPr>
        <sz val="11"/>
        <color rgb="FF000000"/>
        <rFont val="Noto Sans CJK SC"/>
        <family val="2"/>
      </rPr>
      <t xml:space="preserve">天</t>
    </r>
  </si>
  <si>
    <r>
      <rPr>
        <sz val="11"/>
        <color rgb="FF000000"/>
        <rFont val="Noto Sans CJK SC"/>
        <family val="2"/>
      </rPr>
      <t xml:space="preserve">月产</t>
    </r>
    <r>
      <rPr>
        <sz val="11"/>
        <color rgb="FF000000"/>
        <rFont val="Calibri"/>
        <family val="2"/>
        <charset val="1"/>
      </rPr>
      <t xml:space="preserve">50000</t>
    </r>
    <r>
      <rPr>
        <sz val="11"/>
        <color rgb="FF000000"/>
        <rFont val="Noto Sans CJK SC"/>
        <family val="2"/>
      </rPr>
      <t xml:space="preserve">件</t>
    </r>
  </si>
  <si>
    <t xml:space="preserve">FCC,UL,ISO9001</t>
  </si>
  <si>
    <t xml:space="preserve">美国本土仓</t>
  </si>
  <si>
    <r>
      <rPr>
        <sz val="11"/>
        <color rgb="FF000000"/>
        <rFont val="Noto Sans CJK SC"/>
        <family val="2"/>
      </rPr>
      <t xml:space="preserve">一件代发</t>
    </r>
    <r>
      <rPr>
        <sz val="11"/>
        <color rgb="FF000000"/>
        <rFont val="Calibri"/>
        <family val="2"/>
        <charset val="1"/>
      </rPr>
      <t xml:space="preserve">,FBA</t>
    </r>
    <r>
      <rPr>
        <sz val="11"/>
        <color rgb="FF000000"/>
        <rFont val="Noto Sans CJK SC"/>
        <family val="2"/>
      </rPr>
      <t xml:space="preserve">补货</t>
    </r>
  </si>
  <si>
    <t xml:space="preserve">接受</t>
  </si>
  <si>
    <t xml:space="preserve">有</t>
  </si>
  <si>
    <t xml:space="preserve">专注北美市场多年，与多家电商合作</t>
  </si>
  <si>
    <t xml:space="preserve">2024-01-10 11:00</t>
  </si>
  <si>
    <t xml:space="preserve">Mexico Industrial S.A. de C.V.</t>
  </si>
  <si>
    <t xml:space="preserve">墨西哥工业有限公司</t>
  </si>
  <si>
    <t xml:space="preserve">Mexico</t>
  </si>
  <si>
    <t xml:space="preserve">Av. Industrial 500, Mexico City</t>
  </si>
  <si>
    <t xml:space="preserve">MIX123456789</t>
  </si>
  <si>
    <t xml:space="preserve">Carlos Garcia</t>
  </si>
  <si>
    <t xml:space="preserve">+52 55 1234 5678</t>
  </si>
  <si>
    <t xml:space="preserve">carlos@mxindustrial.com</t>
  </si>
  <si>
    <r>
      <rPr>
        <sz val="11"/>
        <color rgb="FF000000"/>
        <rFont val="Noto Sans CJK SC"/>
        <family val="2"/>
      </rPr>
      <t xml:space="preserve">医疗保健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实验室耗材</t>
    </r>
  </si>
  <si>
    <t xml:space="preserve">医疗器械和实验室设备生产</t>
  </si>
  <si>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件</t>
    </r>
  </si>
  <si>
    <r>
      <rPr>
        <sz val="11"/>
        <color rgb="FF000000"/>
        <rFont val="Calibri"/>
        <family val="2"/>
        <charset val="1"/>
      </rPr>
      <t xml:space="preserve">20-30</t>
    </r>
    <r>
      <rPr>
        <sz val="11"/>
        <color rgb="FF000000"/>
        <rFont val="Noto Sans CJK SC"/>
        <family val="2"/>
      </rPr>
      <t xml:space="preserve">天</t>
    </r>
  </si>
  <si>
    <r>
      <rPr>
        <sz val="11"/>
        <color rgb="FF000000"/>
        <rFont val="Noto Sans CJK SC"/>
        <family val="2"/>
      </rPr>
      <t xml:space="preserve">月产</t>
    </r>
    <r>
      <rPr>
        <sz val="11"/>
        <color rgb="FF000000"/>
        <rFont val="Calibri"/>
        <family val="2"/>
        <charset val="1"/>
      </rPr>
      <t xml:space="preserve">20000</t>
    </r>
    <r>
      <rPr>
        <sz val="11"/>
        <color rgb="FF000000"/>
        <rFont val="Noto Sans CJK SC"/>
        <family val="2"/>
      </rPr>
      <t xml:space="preserve">件</t>
    </r>
  </si>
  <si>
    <t xml:space="preserve">CE,FDA,ISO13485</t>
  </si>
  <si>
    <t xml:space="preserve">墨西哥本土仓</t>
  </si>
  <si>
    <r>
      <rPr>
        <sz val="11"/>
        <color rgb="FF000000"/>
        <rFont val="Noto Sans CJK SC"/>
        <family val="2"/>
      </rPr>
      <t xml:space="preserve">本土仓发货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大宗贸易</t>
    </r>
  </si>
  <si>
    <t xml:space="preserve">无</t>
  </si>
  <si>
    <t xml:space="preserve">工厂位于墨西哥城工业区，交通便利</t>
  </si>
  <si>
    <t xml:space="preserve">2024-01-12 16:30</t>
  </si>
  <si>
    <t xml:space="preserve">Smart Home Tech Ltd.</t>
  </si>
  <si>
    <t xml:space="preserve">智能家居科技有限公司</t>
  </si>
  <si>
    <t xml:space="preserve">Other</t>
  </si>
  <si>
    <t xml:space="preserve">Shenzhen, Guangdong, China</t>
  </si>
  <si>
    <t xml:space="preserve">张伟</t>
  </si>
  <si>
    <t xml:space="preserve">+86 13600136000</t>
  </si>
  <si>
    <t xml:space="preserve">zhangwei@smarthome.com</t>
  </si>
  <si>
    <t xml:space="preserve">www.smarthome-tech.com</t>
  </si>
  <si>
    <r>
      <rPr>
        <sz val="11"/>
        <color rgb="FF000000"/>
        <rFont val="Noto Sans CJK SC"/>
        <family val="2"/>
      </rPr>
      <t xml:space="preserve">家居智能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宠物智能用品</t>
    </r>
  </si>
  <si>
    <t xml:space="preserve">智能家居产品研发生产</t>
  </si>
  <si>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件</t>
    </r>
  </si>
  <si>
    <r>
      <rPr>
        <sz val="11"/>
        <color rgb="FF000000"/>
        <rFont val="Calibri"/>
        <family val="2"/>
        <charset val="1"/>
      </rPr>
      <t xml:space="preserve">7-10</t>
    </r>
    <r>
      <rPr>
        <sz val="11"/>
        <color rgb="FF000000"/>
        <rFont val="Noto Sans CJK SC"/>
        <family val="2"/>
      </rPr>
      <t xml:space="preserve">天</t>
    </r>
  </si>
  <si>
    <r>
      <rPr>
        <sz val="11"/>
        <color rgb="FF000000"/>
        <rFont val="Noto Sans CJK SC"/>
        <family val="2"/>
      </rPr>
      <t xml:space="preserve">月产</t>
    </r>
    <r>
      <rPr>
        <sz val="11"/>
        <color rgb="FF000000"/>
        <rFont val="Calibri"/>
        <family val="2"/>
        <charset val="1"/>
      </rPr>
      <t xml:space="preserve">100000</t>
    </r>
    <r>
      <rPr>
        <sz val="11"/>
        <color rgb="FF000000"/>
        <rFont val="Noto Sans CJK SC"/>
        <family val="2"/>
      </rPr>
      <t xml:space="preserve">件</t>
    </r>
  </si>
  <si>
    <t xml:space="preserve">CE,RoHS,FCC</t>
  </si>
  <si>
    <t xml:space="preserve">暂无本土库存</t>
  </si>
  <si>
    <t xml:space="preserve">一件代发</t>
  </si>
  <si>
    <r>
      <rPr>
        <sz val="11"/>
        <color rgb="FF000000"/>
        <rFont val="Noto Sans CJK SC"/>
        <family val="2"/>
      </rPr>
      <t xml:space="preserve">可提供</t>
    </r>
    <r>
      <rPr>
        <sz val="11"/>
        <color rgb="FF000000"/>
        <rFont val="Calibri"/>
        <family val="2"/>
        <charset val="1"/>
      </rPr>
      <t xml:space="preserve">OEM/ODM</t>
    </r>
    <r>
      <rPr>
        <sz val="11"/>
        <color rgb="FF000000"/>
        <rFont val="Noto Sans CJK SC"/>
        <family val="2"/>
      </rPr>
      <t xml:space="preserve">服务</t>
    </r>
  </si>
  <si>
    <t xml:space="preserve">2024-01-18 13:45</t>
  </si>
  <si>
    <t xml:space="preserve">数据统计汇总</t>
  </si>
  <si>
    <r>
      <rPr>
        <sz val="12"/>
        <color rgb="FF666666"/>
        <rFont val="Noto Sans CJK SC"/>
        <family val="2"/>
      </rPr>
      <t xml:space="preserve">统计时间</t>
    </r>
    <r>
      <rPr>
        <sz val="12"/>
        <color rgb="FF666666"/>
        <rFont val="Cambria"/>
        <family val="0"/>
        <charset val="1"/>
      </rPr>
      <t xml:space="preserve">: 2026-03-13</t>
    </r>
  </si>
  <si>
    <t xml:space="preserve">【卖家数据统计】</t>
  </si>
  <si>
    <t xml:space="preserve">指标</t>
  </si>
  <si>
    <t xml:space="preserve">数值</t>
  </si>
  <si>
    <t xml:space="preserve">总卖家数</t>
  </si>
  <si>
    <t xml:space="preserve">有美国店铺的卖家</t>
  </si>
  <si>
    <t xml:space="preserve">有墨西哥店铺的卖家</t>
  </si>
  <si>
    <t xml:space="preserve">需要合伙人服务</t>
  </si>
  <si>
    <t xml:space="preserve">需要美国银行账户</t>
  </si>
  <si>
    <t xml:space="preserve">需要墨西哥银行账户</t>
  </si>
  <si>
    <t xml:space="preserve">需要供应链服务</t>
  </si>
  <si>
    <t xml:space="preserve">需要物流服务</t>
  </si>
  <si>
    <t xml:space="preserve">需要支付服务</t>
  </si>
  <si>
    <t xml:space="preserve">【工厂数据统计】</t>
  </si>
  <si>
    <t xml:space="preserve">总工厂数</t>
  </si>
  <si>
    <t xml:space="preserve">有认证的工厂</t>
  </si>
  <si>
    <t xml:space="preserve">有美国本土仓</t>
  </si>
  <si>
    <t xml:space="preserve">有墨西哥本土仓</t>
  </si>
  <si>
    <t xml:space="preserve">提供品牌服务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</si>
</sst>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6B00"/>
      <name val="Noto Sans CJK SC"/>
      <family val="2"/>
    </font>
    <font>
      <b val="true"/>
      <sz val="18"/>
      <color rgb="FF333333"/>
      <name val="Cambria"/>
      <family val="0"/>
      <charset val="1"/>
    </font>
    <font>
      <b val="true"/>
      <sz val="18"/>
      <color rgb="FF333333"/>
      <name val="Noto Sans CJK SC"/>
      <family val="2"/>
    </font>
    <font>
      <b val="true"/>
      <sz val="20"/>
      <color rgb="FFFF6B00"/>
      <name val="Noto Sans CJK SC"/>
      <family val="2"/>
    </font>
    <font>
      <b val="true"/>
      <sz val="12"/>
      <name val="Noto Sans CJK SC"/>
      <family val="2"/>
    </font>
    <font>
      <sz val="11"/>
      <color rgb="FF00000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Cambria"/>
      <family val="0"/>
      <charset val="1"/>
    </font>
    <font>
      <b val="true"/>
      <sz val="18"/>
      <color rgb="FFFF6B00"/>
      <name val="Noto Sans CJK SC"/>
      <family val="2"/>
    </font>
    <font>
      <sz val="12"/>
      <color rgb="FF666666"/>
      <name val="Noto Sans CJK SC"/>
      <family val="2"/>
    </font>
    <font>
      <sz val="12"/>
      <color rgb="FF666666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6B00"/>
        <bgColor rgb="FFFF9900"/>
      </patternFill>
    </fill>
    <fill>
      <patternFill patternType="solid">
        <fgColor rgb="FFFFE4D6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D6"/>
      <rgbColor rgb="FF3366FF"/>
      <rgbColor rgb="FF33CCCC"/>
      <rgbColor rgb="FF99CC00"/>
      <rgbColor rgb="FFFFCC00"/>
      <rgbColor rgb="FFFF9900"/>
      <rgbColor rgb="FFFF6B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5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5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0" t="s">
        <v>9</v>
      </c>
    </row>
    <row r="15" customFormat="false" ht="15" hidden="false" customHeight="false" outlineLevel="0" collapsed="false">
      <c r="B15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5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10" min="9" style="0" width="30"/>
    <col collapsed="false" customWidth="true" hidden="false" outlineLevel="0" max="15" min="11" style="0" width="12"/>
    <col collapsed="false" customWidth="true" hidden="false" outlineLevel="0" max="16" min="16" style="0" width="15"/>
    <col collapsed="false" customWidth="true" hidden="false" outlineLevel="0" max="17" min="17" style="0" width="35"/>
    <col collapsed="false" customWidth="true" hidden="false" outlineLevel="0" max="19" min="18" style="0" width="15"/>
    <col collapsed="false" customWidth="true" hidden="false" outlineLevel="0" max="23" min="20" style="0" width="12"/>
    <col collapsed="false" customWidth="true" hidden="false" outlineLevel="0" max="25" min="24" style="0" width="15"/>
    <col collapsed="false" customWidth="true" hidden="false" outlineLevel="0" max="26" min="26" style="0" width="30"/>
    <col collapsed="false" customWidth="true" hidden="false" outlineLevel="0" max="27" min="27" style="0" width="18"/>
  </cols>
  <sheetData>
    <row r="1" customFormat="false" ht="1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37</v>
      </c>
    </row>
    <row r="2" customFormat="false" ht="15" hidden="false" customHeight="false" outlineLevel="0" collapsed="false">
      <c r="A2" s="7" t="n">
        <v>1</v>
      </c>
      <c r="B2" s="8" t="s">
        <v>38</v>
      </c>
      <c r="C2" s="7" t="s">
        <v>39</v>
      </c>
      <c r="D2" s="7" t="s">
        <v>40</v>
      </c>
      <c r="E2" s="8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8" t="s">
        <v>49</v>
      </c>
      <c r="N2" s="8" t="s">
        <v>49</v>
      </c>
      <c r="O2" s="8" t="s">
        <v>50</v>
      </c>
      <c r="P2" s="7" t="s">
        <v>51</v>
      </c>
      <c r="Q2" s="8" t="s">
        <v>52</v>
      </c>
      <c r="R2" s="8" t="s">
        <v>53</v>
      </c>
      <c r="S2" s="7" t="s">
        <v>54</v>
      </c>
      <c r="T2" s="8" t="s">
        <v>55</v>
      </c>
      <c r="U2" s="8" t="s">
        <v>56</v>
      </c>
      <c r="V2" s="8" t="s">
        <v>55</v>
      </c>
      <c r="W2" s="8" t="s">
        <v>55</v>
      </c>
      <c r="X2" s="8" t="s">
        <v>57</v>
      </c>
      <c r="Y2" s="7" t="s">
        <v>58</v>
      </c>
      <c r="Z2" s="8" t="s">
        <v>59</v>
      </c>
      <c r="AA2" s="7" t="s">
        <v>60</v>
      </c>
    </row>
    <row r="3" customFormat="false" ht="15" hidden="false" customHeight="false" outlineLevel="0" collapsed="false">
      <c r="A3" s="7" t="n">
        <v>2</v>
      </c>
      <c r="B3" s="8" t="s">
        <v>61</v>
      </c>
      <c r="C3" s="7" t="s">
        <v>62</v>
      </c>
      <c r="D3" s="7" t="s">
        <v>63</v>
      </c>
      <c r="E3" s="8" t="s">
        <v>64</v>
      </c>
      <c r="F3" s="7" t="s">
        <v>65</v>
      </c>
      <c r="G3" s="7" t="s">
        <v>66</v>
      </c>
      <c r="H3" s="7" t="s">
        <v>67</v>
      </c>
      <c r="I3" s="7" t="s">
        <v>68</v>
      </c>
      <c r="J3" s="7" t="s">
        <v>45</v>
      </c>
      <c r="K3" s="7" t="s">
        <v>48</v>
      </c>
      <c r="L3" s="7" t="s">
        <v>47</v>
      </c>
      <c r="M3" s="8" t="s">
        <v>49</v>
      </c>
      <c r="N3" s="8" t="s">
        <v>49</v>
      </c>
      <c r="O3" s="8" t="s">
        <v>49</v>
      </c>
      <c r="P3" s="7" t="s">
        <v>69</v>
      </c>
      <c r="Q3" s="8" t="s">
        <v>70</v>
      </c>
      <c r="R3" s="8" t="s">
        <v>71</v>
      </c>
      <c r="S3" s="7" t="s">
        <v>72</v>
      </c>
      <c r="T3" s="8" t="s">
        <v>55</v>
      </c>
      <c r="U3" s="8" t="s">
        <v>55</v>
      </c>
      <c r="V3" s="8" t="s">
        <v>55</v>
      </c>
      <c r="W3" s="8" t="s">
        <v>55</v>
      </c>
      <c r="X3" s="8" t="s">
        <v>73</v>
      </c>
      <c r="Y3" s="7" t="s">
        <v>51</v>
      </c>
      <c r="Z3" s="8" t="s">
        <v>74</v>
      </c>
      <c r="AA3" s="7" t="s">
        <v>75</v>
      </c>
    </row>
    <row r="4" customFormat="false" ht="15" hidden="false" customHeight="false" outlineLevel="0" collapsed="false">
      <c r="A4" s="7" t="n">
        <v>3</v>
      </c>
      <c r="B4" s="8" t="s">
        <v>76</v>
      </c>
      <c r="C4" s="7" t="s">
        <v>77</v>
      </c>
      <c r="D4" s="7" t="s">
        <v>78</v>
      </c>
      <c r="E4" s="8" t="s">
        <v>79</v>
      </c>
      <c r="F4" s="7" t="s">
        <v>80</v>
      </c>
      <c r="G4" s="7" t="s">
        <v>81</v>
      </c>
      <c r="H4" s="7" t="s">
        <v>82</v>
      </c>
      <c r="I4" s="7" t="s">
        <v>83</v>
      </c>
      <c r="J4" s="7" t="s">
        <v>84</v>
      </c>
      <c r="K4" s="7" t="s">
        <v>85</v>
      </c>
      <c r="L4" s="7" t="s">
        <v>47</v>
      </c>
      <c r="M4" s="8" t="s">
        <v>50</v>
      </c>
      <c r="N4" s="8" t="s">
        <v>49</v>
      </c>
      <c r="O4" s="8" t="s">
        <v>50</v>
      </c>
      <c r="P4" s="7" t="s">
        <v>58</v>
      </c>
      <c r="Q4" s="8" t="s">
        <v>86</v>
      </c>
      <c r="R4" s="8" t="s">
        <v>53</v>
      </c>
      <c r="S4" s="7" t="s">
        <v>87</v>
      </c>
      <c r="T4" s="8" t="s">
        <v>55</v>
      </c>
      <c r="U4" s="8" t="s">
        <v>56</v>
      </c>
      <c r="V4" s="8" t="s">
        <v>55</v>
      </c>
      <c r="W4" s="8" t="s">
        <v>50</v>
      </c>
      <c r="X4" s="8" t="s">
        <v>88</v>
      </c>
      <c r="Y4" s="7" t="s">
        <v>89</v>
      </c>
      <c r="Z4" s="7"/>
      <c r="AA4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10" min="9" style="0" width="25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6" min="13" style="0" width="12"/>
    <col collapsed="false" customWidth="true" hidden="false" outlineLevel="0" max="17" min="17" style="0" width="30"/>
    <col collapsed="false" customWidth="true" hidden="false" outlineLevel="0" max="18" min="18" style="0" width="18"/>
    <col collapsed="false" customWidth="true" hidden="false" outlineLevel="0" max="19" min="19" style="0" width="25"/>
    <col collapsed="false" customWidth="true" hidden="false" outlineLevel="0" max="21" min="20" style="0" width="12"/>
    <col collapsed="false" customWidth="true" hidden="false" outlineLevel="0" max="22" min="22" style="0" width="35"/>
    <col collapsed="false" customWidth="true" hidden="false" outlineLevel="0" max="23" min="23" style="0" width="18"/>
  </cols>
  <sheetData>
    <row r="1" customFormat="false" ht="15" hidden="false" customHeight="false" outlineLevel="0" collapsed="false">
      <c r="A1" s="6" t="s">
        <v>11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15</v>
      </c>
      <c r="H1" s="6" t="s">
        <v>16</v>
      </c>
      <c r="I1" s="6" t="s">
        <v>17</v>
      </c>
      <c r="J1" s="6" t="s">
        <v>96</v>
      </c>
      <c r="K1" s="6" t="s">
        <v>27</v>
      </c>
      <c r="L1" s="6" t="s">
        <v>97</v>
      </c>
      <c r="M1" s="6" t="s">
        <v>98</v>
      </c>
      <c r="N1" s="6" t="s">
        <v>99</v>
      </c>
      <c r="O1" s="6" t="s">
        <v>100</v>
      </c>
      <c r="P1" s="6" t="s">
        <v>101</v>
      </c>
      <c r="Q1" s="6" t="s">
        <v>102</v>
      </c>
      <c r="R1" s="6" t="s">
        <v>103</v>
      </c>
      <c r="S1" s="6" t="s">
        <v>104</v>
      </c>
      <c r="T1" s="6" t="s">
        <v>105</v>
      </c>
      <c r="U1" s="6" t="s">
        <v>106</v>
      </c>
      <c r="V1" s="6" t="s">
        <v>107</v>
      </c>
      <c r="W1" s="6" t="s">
        <v>37</v>
      </c>
    </row>
    <row r="2" customFormat="false" ht="15" hidden="false" customHeight="false" outlineLevel="0" collapsed="false">
      <c r="A2" s="7" t="n">
        <v>1</v>
      </c>
      <c r="B2" s="7" t="s">
        <v>108</v>
      </c>
      <c r="C2" s="8" t="s">
        <v>109</v>
      </c>
      <c r="D2" s="7" t="s">
        <v>110</v>
      </c>
      <c r="E2" s="7" t="s">
        <v>111</v>
      </c>
      <c r="F2" s="7" t="s">
        <v>112</v>
      </c>
      <c r="G2" s="7" t="s">
        <v>113</v>
      </c>
      <c r="H2" s="7" t="s">
        <v>114</v>
      </c>
      <c r="I2" s="7" t="s">
        <v>115</v>
      </c>
      <c r="J2" s="7" t="s">
        <v>116</v>
      </c>
      <c r="K2" s="8" t="s">
        <v>117</v>
      </c>
      <c r="L2" s="8" t="s">
        <v>118</v>
      </c>
      <c r="M2" s="7" t="s">
        <v>119</v>
      </c>
      <c r="N2" s="7" t="s">
        <v>120</v>
      </c>
      <c r="O2" s="8" t="s">
        <v>121</v>
      </c>
      <c r="P2" s="8" t="s">
        <v>49</v>
      </c>
      <c r="Q2" s="7" t="s">
        <v>122</v>
      </c>
      <c r="R2" s="8" t="s">
        <v>123</v>
      </c>
      <c r="S2" s="8" t="s">
        <v>124</v>
      </c>
      <c r="T2" s="8" t="s">
        <v>125</v>
      </c>
      <c r="U2" s="8" t="s">
        <v>126</v>
      </c>
      <c r="V2" s="8" t="s">
        <v>127</v>
      </c>
      <c r="W2" s="7" t="s">
        <v>128</v>
      </c>
    </row>
    <row r="3" customFormat="false" ht="15" hidden="false" customHeight="false" outlineLevel="0" collapsed="false">
      <c r="A3" s="7" t="n">
        <v>2</v>
      </c>
      <c r="B3" s="7" t="s">
        <v>129</v>
      </c>
      <c r="C3" s="8" t="s">
        <v>130</v>
      </c>
      <c r="D3" s="7" t="s">
        <v>131</v>
      </c>
      <c r="E3" s="7" t="s">
        <v>132</v>
      </c>
      <c r="F3" s="7" t="s">
        <v>133</v>
      </c>
      <c r="G3" s="7" t="s">
        <v>134</v>
      </c>
      <c r="H3" s="7" t="s">
        <v>135</v>
      </c>
      <c r="I3" s="7" t="s">
        <v>136</v>
      </c>
      <c r="J3" s="7"/>
      <c r="K3" s="8" t="s">
        <v>137</v>
      </c>
      <c r="L3" s="8" t="s">
        <v>138</v>
      </c>
      <c r="M3" s="7" t="s">
        <v>139</v>
      </c>
      <c r="N3" s="7" t="s">
        <v>140</v>
      </c>
      <c r="O3" s="8" t="s">
        <v>141</v>
      </c>
      <c r="P3" s="8" t="s">
        <v>49</v>
      </c>
      <c r="Q3" s="7" t="s">
        <v>142</v>
      </c>
      <c r="R3" s="8" t="s">
        <v>143</v>
      </c>
      <c r="S3" s="8" t="s">
        <v>144</v>
      </c>
      <c r="T3" s="8" t="s">
        <v>125</v>
      </c>
      <c r="U3" s="8" t="s">
        <v>145</v>
      </c>
      <c r="V3" s="8" t="s">
        <v>146</v>
      </c>
      <c r="W3" s="7" t="s">
        <v>147</v>
      </c>
    </row>
    <row r="4" customFormat="false" ht="15" hidden="false" customHeight="false" outlineLevel="0" collapsed="false">
      <c r="A4" s="7" t="n">
        <v>3</v>
      </c>
      <c r="B4" s="7" t="s">
        <v>148</v>
      </c>
      <c r="C4" s="8" t="s">
        <v>149</v>
      </c>
      <c r="D4" s="7" t="s">
        <v>150</v>
      </c>
      <c r="E4" s="7" t="s">
        <v>151</v>
      </c>
      <c r="F4" s="7" t="s">
        <v>40</v>
      </c>
      <c r="G4" s="8" t="s">
        <v>152</v>
      </c>
      <c r="H4" s="7" t="s">
        <v>153</v>
      </c>
      <c r="I4" s="7" t="s">
        <v>154</v>
      </c>
      <c r="J4" s="7" t="s">
        <v>155</v>
      </c>
      <c r="K4" s="8" t="s">
        <v>156</v>
      </c>
      <c r="L4" s="8" t="s">
        <v>157</v>
      </c>
      <c r="M4" s="7" t="s">
        <v>158</v>
      </c>
      <c r="N4" s="7" t="s">
        <v>159</v>
      </c>
      <c r="O4" s="8" t="s">
        <v>160</v>
      </c>
      <c r="P4" s="8" t="s">
        <v>49</v>
      </c>
      <c r="Q4" s="7" t="s">
        <v>161</v>
      </c>
      <c r="R4" s="8" t="s">
        <v>162</v>
      </c>
      <c r="S4" s="8" t="s">
        <v>163</v>
      </c>
      <c r="T4" s="8" t="s">
        <v>125</v>
      </c>
      <c r="U4" s="8" t="s">
        <v>126</v>
      </c>
      <c r="V4" s="8" t="s">
        <v>164</v>
      </c>
      <c r="W4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5"/>
    <col collapsed="false" customWidth="true" hidden="false" outlineLevel="0" max="3" min="3" style="0" width="15"/>
  </cols>
  <sheetData>
    <row r="2" customFormat="false" ht="15" hidden="false" customHeight="false" outlineLevel="0" collapsed="false">
      <c r="B2" s="9" t="s">
        <v>166</v>
      </c>
    </row>
    <row r="3" customFormat="false" ht="15" hidden="false" customHeight="false" outlineLevel="0" collapsed="false">
      <c r="B3" s="10" t="s">
        <v>167</v>
      </c>
    </row>
    <row r="5" customFormat="false" ht="15" hidden="false" customHeight="false" outlineLevel="0" collapsed="false">
      <c r="B5" s="11" t="s">
        <v>168</v>
      </c>
    </row>
    <row r="7" customFormat="false" ht="15" hidden="false" customHeight="false" outlineLevel="0" collapsed="false">
      <c r="B7" s="12" t="s">
        <v>169</v>
      </c>
      <c r="C7" s="13" t="s">
        <v>170</v>
      </c>
    </row>
    <row r="8" customFormat="false" ht="15" hidden="false" customHeight="false" outlineLevel="0" collapsed="false">
      <c r="B8" s="12" t="s">
        <v>171</v>
      </c>
      <c r="C8" s="13" t="n">
        <f aca="false">COUNTA(卖家CRM!A2:A1000)</f>
        <v>3</v>
      </c>
    </row>
    <row r="9" customFormat="false" ht="15" hidden="false" customHeight="false" outlineLevel="0" collapsed="false">
      <c r="B9" s="12" t="s">
        <v>172</v>
      </c>
      <c r="C9" s="13" t="n">
        <f aca="false">COUNTIF(卖家CRM!K2:K1000,"&lt;&gt;0")</f>
        <v>998</v>
      </c>
    </row>
    <row r="10" customFormat="false" ht="15" hidden="false" customHeight="false" outlineLevel="0" collapsed="false">
      <c r="B10" s="12" t="s">
        <v>173</v>
      </c>
      <c r="C10" s="13" t="n">
        <f aca="false">COUNTIF(卖家CRM!L2:L1000,"&lt;&gt;0")</f>
        <v>998</v>
      </c>
    </row>
    <row r="11" customFormat="false" ht="15" hidden="false" customHeight="false" outlineLevel="0" collapsed="false">
      <c r="B11" s="12" t="s">
        <v>174</v>
      </c>
      <c r="C11" s="13" t="n">
        <f aca="false">COUNTIF(卖家CRM!M2:M1000,"是")</f>
        <v>2</v>
      </c>
    </row>
    <row r="12" customFormat="false" ht="15" hidden="false" customHeight="false" outlineLevel="0" collapsed="false">
      <c r="B12" s="12" t="s">
        <v>175</v>
      </c>
      <c r="C12" s="13" t="n">
        <f aca="false">COUNTIF(卖家CRM!N2:N1000,"是")</f>
        <v>3</v>
      </c>
    </row>
    <row r="13" customFormat="false" ht="15" hidden="false" customHeight="false" outlineLevel="0" collapsed="false">
      <c r="B13" s="12" t="s">
        <v>176</v>
      </c>
      <c r="C13" s="13" t="n">
        <f aca="false">COUNTIF(卖家CRM!O2:O1000,"是")</f>
        <v>1</v>
      </c>
    </row>
    <row r="14" customFormat="false" ht="15" hidden="false" customHeight="false" outlineLevel="0" collapsed="false">
      <c r="B14" s="12" t="s">
        <v>177</v>
      </c>
      <c r="C14" s="13" t="n">
        <f aca="false">COUNTIF(卖家CRM!T2:T1000,"需要")</f>
        <v>3</v>
      </c>
    </row>
    <row r="15" customFormat="false" ht="15" hidden="false" customHeight="false" outlineLevel="0" collapsed="false">
      <c r="B15" s="12" t="s">
        <v>178</v>
      </c>
      <c r="C15" s="13" t="n">
        <f aca="false">COUNTIF(卖家CRM!V2:V1000,"需要")</f>
        <v>3</v>
      </c>
    </row>
    <row r="16" customFormat="false" ht="15" hidden="false" customHeight="false" outlineLevel="0" collapsed="false">
      <c r="B16" s="12" t="s">
        <v>179</v>
      </c>
      <c r="C16" s="13" t="n">
        <f aca="false">COUNTIF(卖家CRM!W2:W1000,"需要")</f>
        <v>2</v>
      </c>
    </row>
    <row r="19" customFormat="false" ht="15" hidden="false" customHeight="false" outlineLevel="0" collapsed="false">
      <c r="B19" s="11" t="s">
        <v>180</v>
      </c>
    </row>
    <row r="21" customFormat="false" ht="15" hidden="false" customHeight="false" outlineLevel="0" collapsed="false">
      <c r="B21" s="12" t="s">
        <v>169</v>
      </c>
      <c r="C21" s="13" t="s">
        <v>170</v>
      </c>
    </row>
    <row r="22" customFormat="false" ht="15" hidden="false" customHeight="false" outlineLevel="0" collapsed="false">
      <c r="B22" s="12" t="s">
        <v>181</v>
      </c>
      <c r="C22" s="13" t="n">
        <f aca="false">COUNTA(工厂CRM!A2:A1000)</f>
        <v>3</v>
      </c>
    </row>
    <row r="23" customFormat="false" ht="15" hidden="false" customHeight="false" outlineLevel="0" collapsed="false">
      <c r="B23" s="12" t="s">
        <v>182</v>
      </c>
      <c r="C23" s="13" t="n">
        <f aca="false">COUNTIF(工厂CRM!P2:P1000,"是")</f>
        <v>3</v>
      </c>
    </row>
    <row r="24" customFormat="false" ht="15" hidden="false" customHeight="false" outlineLevel="0" collapsed="false">
      <c r="B24" s="12" t="s">
        <v>183</v>
      </c>
      <c r="C24" s="13" t="n">
        <f aca="false">COUNTIF(工厂CRM!R2:R1000,"*美国*")</f>
        <v>1</v>
      </c>
    </row>
    <row r="25" customFormat="false" ht="15" hidden="false" customHeight="false" outlineLevel="0" collapsed="false">
      <c r="B25" s="12" t="s">
        <v>184</v>
      </c>
      <c r="C25" s="13" t="n">
        <f aca="false">COUNTIF(工厂CRM!R2:R1000,"*墨西哥*")</f>
        <v>1</v>
      </c>
    </row>
    <row r="26" customFormat="false" ht="15" hidden="false" customHeight="false" outlineLevel="0" collapsed="false">
      <c r="B26" s="12" t="s">
        <v>105</v>
      </c>
      <c r="C26" s="13" t="n">
        <f aca="false">COUNTIF(工厂CRM!T2:T1000,"接受")</f>
        <v>3</v>
      </c>
    </row>
    <row r="27" customFormat="false" ht="15" hidden="false" customHeight="false" outlineLevel="0" collapsed="false">
      <c r="B27" s="12" t="s">
        <v>185</v>
      </c>
      <c r="C27" s="13" t="n">
        <f aca="false">COUNTIF(工厂CRM!U2:U1000,"有")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2026-03-13T08:48:14Z</dcterms:created>
  <dc:creator>openpyxl</dc:creator>
  <dc:description/>
  <dc:language>en-US</dc:language>
  <cp:lastModifiedBy/>
  <dcterms:modified xsi:type="dcterms:W3CDTF">2026-03-13T08:48:14Z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AI","ProduceID":"00000000000000000000000000000000","ReservedCode1":"3045022100b5c29813859601dd704ffe7b876f1180c731ab831a058c8ec96f6644d2c454f002206d9d8f06531f687cb31dd05d38983e727315a1d9345ebc8b9d805eaa02b80d99","ContentPropagator":"Minimax Agent AI","PropagateID":"00000000000000000000000000000000","ReservedCode2":"304502210095e99c1574cc6097055a463ce92384d7afb8f22777cd8bae4914f210a359d9ae02202d9e5add1052b8cd522f442f6b11fb708b41c74b26a24d5fb0e48a4ac8c7bd24"}</vt:lpwstr>
  </property>
</Properties>
</file>